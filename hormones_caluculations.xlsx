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823bc7ded29af6/Desktop/Chapter V - 10_06_23/"/>
    </mc:Choice>
  </mc:AlternateContent>
  <xr:revisionPtr revIDLastSave="10" documentId="8_{F0103055-DAB3-4290-B545-F729CB2EC843}" xr6:coauthVersionLast="47" xr6:coauthVersionMax="47" xr10:uidLastSave="{31D0D379-048B-4C64-8625-FDE719628908}"/>
  <bookViews>
    <workbookView xWindow="28680" yWindow="-3975" windowWidth="29040" windowHeight="15720" xr2:uid="{DA39197C-8A46-4E0C-BF4E-6B459BEA8A07}"/>
  </bookViews>
  <sheets>
    <sheet name="Progesterone" sheetId="1" r:id="rId1"/>
    <sheet name="Cortisol" sheetId="2" r:id="rId2"/>
    <sheet name="Androstenedi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4" i="3"/>
  <c r="I35" i="3"/>
  <c r="I36" i="3"/>
  <c r="I37" i="3"/>
  <c r="I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I33" i="3" s="1"/>
  <c r="H34" i="3"/>
  <c r="H35" i="3"/>
  <c r="H36" i="3"/>
  <c r="H37" i="3"/>
  <c r="H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8" i="3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4" i="2"/>
  <c r="I35" i="2"/>
  <c r="I36" i="2"/>
  <c r="I37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4" i="2"/>
  <c r="H35" i="2"/>
  <c r="H36" i="2"/>
  <c r="H37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33" i="2" s="1"/>
  <c r="I33" i="2" s="1"/>
  <c r="G34" i="2"/>
  <c r="G35" i="2"/>
  <c r="G36" i="2"/>
  <c r="G37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8" i="2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4" i="1"/>
  <c r="I35" i="1"/>
  <c r="I36" i="1"/>
  <c r="I37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33" i="1" s="1"/>
  <c r="I33" i="1" s="1"/>
  <c r="G34" i="1"/>
  <c r="G35" i="1"/>
  <c r="G36" i="1"/>
  <c r="G37" i="1"/>
  <c r="G8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D37" i="1"/>
  <c r="E37" i="1" s="1"/>
  <c r="E36" i="1"/>
  <c r="D36" i="1"/>
  <c r="D35" i="1"/>
  <c r="E35" i="1" s="1"/>
  <c r="E34" i="1"/>
  <c r="D34" i="1"/>
  <c r="E33" i="1"/>
  <c r="D33" i="1"/>
  <c r="D32" i="1"/>
  <c r="E32" i="1" s="1"/>
  <c r="D31" i="1"/>
  <c r="E31" i="1" s="1"/>
  <c r="E30" i="1"/>
  <c r="D30" i="1"/>
  <c r="E29" i="1"/>
  <c r="D29" i="1"/>
  <c r="E28" i="1"/>
  <c r="D28" i="1"/>
  <c r="D27" i="1"/>
  <c r="E27" i="1" s="1"/>
  <c r="D26" i="1"/>
  <c r="E26" i="1" s="1"/>
  <c r="E25" i="1"/>
  <c r="D25" i="1"/>
  <c r="E24" i="1"/>
  <c r="D24" i="1"/>
  <c r="E23" i="1"/>
  <c r="D23" i="1"/>
  <c r="E22" i="1"/>
  <c r="D22" i="1"/>
  <c r="E21" i="1"/>
  <c r="D21" i="1"/>
  <c r="E20" i="1"/>
  <c r="D20" i="1"/>
  <c r="D19" i="1"/>
  <c r="E19" i="1" s="1"/>
  <c r="D18" i="1"/>
  <c r="E18" i="1" s="1"/>
  <c r="E17" i="1"/>
  <c r="D17" i="1"/>
  <c r="D16" i="1"/>
  <c r="E16" i="1" s="1"/>
  <c r="E15" i="1"/>
  <c r="D15" i="1"/>
  <c r="E14" i="1"/>
  <c r="D14" i="1"/>
  <c r="E13" i="1"/>
  <c r="D13" i="1"/>
  <c r="E12" i="1"/>
  <c r="D12" i="1"/>
  <c r="D11" i="1"/>
  <c r="E11" i="1" s="1"/>
  <c r="E10" i="1"/>
  <c r="D10" i="1"/>
  <c r="E9" i="1"/>
  <c r="D9" i="1"/>
  <c r="D8" i="1"/>
  <c r="E8" i="1" s="1"/>
</calcChain>
</file>

<file path=xl/sharedStrings.xml><?xml version="1.0" encoding="utf-8"?>
<sst xmlns="http://schemas.openxmlformats.org/spreadsheetml/2006/main" count="144" uniqueCount="59">
  <si>
    <t>Sample ID</t>
  </si>
  <si>
    <t>Concentration estimated in CVF</t>
  </si>
  <si>
    <t>ng Progesterone in extract to NPC</t>
  </si>
  <si>
    <t>ng Progesterone / microL</t>
  </si>
  <si>
    <t>column c/200</t>
  </si>
  <si>
    <t>weight_g</t>
  </si>
  <si>
    <t>2V1116_22+4</t>
  </si>
  <si>
    <t>2V1553_23+6</t>
  </si>
  <si>
    <t>2V1553_15+1</t>
  </si>
  <si>
    <t>2V1083_20+2</t>
  </si>
  <si>
    <t>2V1545_14+2</t>
  </si>
  <si>
    <t>2V1070_20+5</t>
  </si>
  <si>
    <t>2V1544_19+1</t>
  </si>
  <si>
    <t>2V1538_14+6</t>
  </si>
  <si>
    <t>2V969_24+2</t>
  </si>
  <si>
    <t>No Internal Stds</t>
  </si>
  <si>
    <t>2V1534_24+1</t>
  </si>
  <si>
    <t>2V1534_16+1</t>
  </si>
  <si>
    <t>2V966_18+4</t>
  </si>
  <si>
    <t>2V1030_13+6</t>
  </si>
  <si>
    <t>2V934_14+6</t>
  </si>
  <si>
    <t>2V1094_14+5</t>
  </si>
  <si>
    <t>2V1163_20+2</t>
  </si>
  <si>
    <t>2V1465_21+4</t>
  </si>
  <si>
    <t>2V1465_15+4</t>
  </si>
  <si>
    <t>2V1176_20+4</t>
  </si>
  <si>
    <t>2V1284_14+2</t>
  </si>
  <si>
    <t>2V1289_16+1</t>
  </si>
  <si>
    <t>2V1383_20+6</t>
  </si>
  <si>
    <t>2V1383_12+6</t>
  </si>
  <si>
    <t>2V1096_15+3</t>
  </si>
  <si>
    <t>2V1592_23+5</t>
  </si>
  <si>
    <t>2V1384_20+6</t>
  </si>
  <si>
    <t>2V1384_14+6</t>
  </si>
  <si>
    <t>2V1673_21+0</t>
  </si>
  <si>
    <t>2V1486_16+4</t>
  </si>
  <si>
    <t>2V1514_15+3</t>
  </si>
  <si>
    <t>NPC_values</t>
  </si>
  <si>
    <t>column C *0.1</t>
  </si>
  <si>
    <t>Concentration estimated in CVF extract</t>
  </si>
  <si>
    <t>Concentration in Original 200 microL extract in ng/mL</t>
  </si>
  <si>
    <t>ng Progesterone / mL</t>
  </si>
  <si>
    <t>Estimated using weight * 5</t>
  </si>
  <si>
    <t>Volume added per sample (mL)</t>
  </si>
  <si>
    <t>How much PBS added estimation</t>
  </si>
  <si>
    <t>Total ammount (ng) Progesterone in sample</t>
  </si>
  <si>
    <t>ng/g</t>
  </si>
  <si>
    <t>Total ng Progesterone divided by CVF fluid (g)</t>
  </si>
  <si>
    <t>ng Cortisol / microL</t>
  </si>
  <si>
    <t>ng Cortisol / mL</t>
  </si>
  <si>
    <t>Total ammount (ng) Cortisol in sample</t>
  </si>
  <si>
    <t>Total ng Cortisol divided by CVF fluid (g)</t>
  </si>
  <si>
    <t>ng Cortisol in extract to NPC</t>
  </si>
  <si>
    <t>column d/200</t>
  </si>
  <si>
    <t>ng Androstenedione in extract to NPC</t>
  </si>
  <si>
    <t>ng Androstenedione / microL</t>
  </si>
  <si>
    <t>ng Androstenedione / mL</t>
  </si>
  <si>
    <t>Total ammount (ng) Androstenedione in sample</t>
  </si>
  <si>
    <t>Total ng Androstenedione divided by CVF fluid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</si>
</sst>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27E2-8B78-4C03-98F9-A16AC683FC01}">
  <dimension ref="A3:I37"/>
  <sheetViews>
    <sheetView tabSelected="1" topLeftCell="A35" workbookViewId="0">
      <selection activeCell="H53" sqref="H53"/>
    </sheetView>
  </sheetViews>
  <sheetFormatPr defaultRowHeight="14.4" x14ac:dyDescent="0.3"/>
  <cols>
    <col min="1" max="1" width="12.109375" bestFit="1" customWidth="1"/>
    <col min="2" max="2" width="12.109375" customWidth="1"/>
    <col min="3" max="3" width="16.21875" bestFit="1" customWidth="1"/>
    <col min="4" max="4" width="30.5546875" bestFit="1" customWidth="1"/>
    <col min="5" max="5" width="28.88671875" bestFit="1" customWidth="1"/>
    <col min="6" max="6" width="47.44140625" bestFit="1" customWidth="1"/>
    <col min="7" max="7" width="29.88671875" bestFit="1" customWidth="1"/>
    <col min="8" max="8" width="39.6640625" bestFit="1" customWidth="1"/>
    <col min="9" max="9" width="28.88671875" bestFit="1" customWidth="1"/>
  </cols>
  <sheetData>
    <row r="3" spans="1:9" x14ac:dyDescent="0.3">
      <c r="A3" t="s">
        <v>0</v>
      </c>
      <c r="E3" t="s">
        <v>1</v>
      </c>
      <c r="F3" s="3" t="s">
        <v>39</v>
      </c>
      <c r="G3" t="s">
        <v>42</v>
      </c>
    </row>
    <row r="4" spans="1:9" x14ac:dyDescent="0.3">
      <c r="D4" t="s">
        <v>2</v>
      </c>
      <c r="E4" t="s">
        <v>3</v>
      </c>
      <c r="F4" s="3" t="s">
        <v>40</v>
      </c>
      <c r="G4" t="s">
        <v>43</v>
      </c>
    </row>
    <row r="5" spans="1:9" x14ac:dyDescent="0.3">
      <c r="C5" t="s">
        <v>37</v>
      </c>
      <c r="D5" t="s">
        <v>38</v>
      </c>
      <c r="E5" t="s">
        <v>4</v>
      </c>
      <c r="F5" s="3" t="s">
        <v>41</v>
      </c>
      <c r="G5" t="s">
        <v>44</v>
      </c>
      <c r="H5" s="3" t="s">
        <v>45</v>
      </c>
      <c r="I5" s="3" t="s">
        <v>47</v>
      </c>
    </row>
    <row r="6" spans="1:9" x14ac:dyDescent="0.3">
      <c r="B6" s="1"/>
      <c r="I6" t="s">
        <v>46</v>
      </c>
    </row>
    <row r="7" spans="1:9" x14ac:dyDescent="0.3">
      <c r="B7" s="2" t="s">
        <v>5</v>
      </c>
    </row>
    <row r="8" spans="1:9" x14ac:dyDescent="0.3">
      <c r="A8" t="s">
        <v>6</v>
      </c>
      <c r="B8">
        <v>0.85</v>
      </c>
      <c r="C8">
        <v>7.2220000000000004</v>
      </c>
      <c r="D8">
        <f t="shared" ref="D8:D37" si="0">C8*0.1</f>
        <v>0.72220000000000006</v>
      </c>
      <c r="E8">
        <f t="shared" ref="E8:E37" si="1">D8/200</f>
        <v>3.6110000000000005E-3</v>
      </c>
      <c r="F8">
        <f>E8*1000</f>
        <v>3.6110000000000007</v>
      </c>
      <c r="G8">
        <f>B8*5</f>
        <v>4.25</v>
      </c>
      <c r="H8">
        <f>F8*G8</f>
        <v>15.346750000000004</v>
      </c>
      <c r="I8">
        <f>H8/B8</f>
        <v>18.055000000000003</v>
      </c>
    </row>
    <row r="9" spans="1:9" x14ac:dyDescent="0.3">
      <c r="A9" t="s">
        <v>7</v>
      </c>
      <c r="B9">
        <v>1.25</v>
      </c>
      <c r="C9">
        <v>2.6429999999999998</v>
      </c>
      <c r="D9">
        <f t="shared" si="0"/>
        <v>0.26429999999999998</v>
      </c>
      <c r="E9">
        <f t="shared" si="1"/>
        <v>1.3215E-3</v>
      </c>
      <c r="F9">
        <f t="shared" ref="F9:F37" si="2">E9*1000</f>
        <v>1.3214999999999999</v>
      </c>
      <c r="G9">
        <f t="shared" ref="G9:G37" si="3">B9*5</f>
        <v>6.25</v>
      </c>
      <c r="H9">
        <f t="shared" ref="H9:H37" si="4">F9*G9</f>
        <v>8.2593749999999986</v>
      </c>
      <c r="I9">
        <f t="shared" ref="I9:I37" si="5">H9/B9</f>
        <v>6.607499999999999</v>
      </c>
    </row>
    <row r="10" spans="1:9" x14ac:dyDescent="0.3">
      <c r="A10" t="s">
        <v>8</v>
      </c>
      <c r="B10">
        <v>1.42</v>
      </c>
      <c r="C10">
        <v>5.0830000000000002</v>
      </c>
      <c r="D10">
        <f t="shared" si="0"/>
        <v>0.50830000000000009</v>
      </c>
      <c r="E10">
        <f t="shared" si="1"/>
        <v>2.5415000000000004E-3</v>
      </c>
      <c r="F10">
        <f t="shared" si="2"/>
        <v>2.5415000000000005</v>
      </c>
      <c r="G10">
        <f t="shared" si="3"/>
        <v>7.1</v>
      </c>
      <c r="H10">
        <f t="shared" si="4"/>
        <v>18.044650000000004</v>
      </c>
      <c r="I10">
        <f t="shared" si="5"/>
        <v>12.707500000000003</v>
      </c>
    </row>
    <row r="11" spans="1:9" x14ac:dyDescent="0.3">
      <c r="A11" t="s">
        <v>9</v>
      </c>
      <c r="B11">
        <v>1.0900000000000001</v>
      </c>
      <c r="C11">
        <v>5.97</v>
      </c>
      <c r="D11">
        <f t="shared" si="0"/>
        <v>0.59699999999999998</v>
      </c>
      <c r="E11">
        <f t="shared" si="1"/>
        <v>2.9849999999999998E-3</v>
      </c>
      <c r="F11">
        <f t="shared" si="2"/>
        <v>2.9849999999999999</v>
      </c>
      <c r="G11">
        <f t="shared" si="3"/>
        <v>5.45</v>
      </c>
      <c r="H11">
        <f t="shared" si="4"/>
        <v>16.268249999999998</v>
      </c>
      <c r="I11">
        <f t="shared" si="5"/>
        <v>14.924999999999997</v>
      </c>
    </row>
    <row r="12" spans="1:9" x14ac:dyDescent="0.3">
      <c r="A12" t="s">
        <v>10</v>
      </c>
      <c r="B12">
        <v>0.71</v>
      </c>
      <c r="C12">
        <v>2</v>
      </c>
      <c r="D12">
        <f t="shared" si="0"/>
        <v>0.2</v>
      </c>
      <c r="E12">
        <f t="shared" si="1"/>
        <v>1E-3</v>
      </c>
      <c r="F12">
        <f t="shared" si="2"/>
        <v>1</v>
      </c>
      <c r="G12">
        <f t="shared" si="3"/>
        <v>3.55</v>
      </c>
      <c r="H12">
        <f t="shared" si="4"/>
        <v>3.55</v>
      </c>
      <c r="I12">
        <f t="shared" si="5"/>
        <v>5</v>
      </c>
    </row>
    <row r="13" spans="1:9" x14ac:dyDescent="0.3">
      <c r="A13" t="s">
        <v>11</v>
      </c>
      <c r="B13">
        <v>0.7</v>
      </c>
      <c r="C13">
        <v>1.7310000000000001</v>
      </c>
      <c r="D13">
        <f t="shared" si="0"/>
        <v>0.17310000000000003</v>
      </c>
      <c r="E13">
        <f t="shared" si="1"/>
        <v>8.6550000000000017E-4</v>
      </c>
      <c r="F13">
        <f t="shared" si="2"/>
        <v>0.86550000000000016</v>
      </c>
      <c r="G13">
        <f t="shared" si="3"/>
        <v>3.5</v>
      </c>
      <c r="H13">
        <f t="shared" si="4"/>
        <v>3.0292500000000007</v>
      </c>
      <c r="I13">
        <f t="shared" si="5"/>
        <v>4.3275000000000015</v>
      </c>
    </row>
    <row r="14" spans="1:9" x14ac:dyDescent="0.3">
      <c r="A14" t="s">
        <v>12</v>
      </c>
      <c r="B14">
        <v>1.23</v>
      </c>
      <c r="C14">
        <v>5.0869999999999997</v>
      </c>
      <c r="D14">
        <f t="shared" si="0"/>
        <v>0.50870000000000004</v>
      </c>
      <c r="E14">
        <f t="shared" si="1"/>
        <v>2.5435000000000002E-3</v>
      </c>
      <c r="F14">
        <f t="shared" si="2"/>
        <v>2.5435000000000003</v>
      </c>
      <c r="G14">
        <f t="shared" si="3"/>
        <v>6.15</v>
      </c>
      <c r="H14">
        <f t="shared" si="4"/>
        <v>15.642525000000003</v>
      </c>
      <c r="I14">
        <f t="shared" si="5"/>
        <v>12.717500000000003</v>
      </c>
    </row>
    <row r="15" spans="1:9" x14ac:dyDescent="0.3">
      <c r="A15" t="s">
        <v>13</v>
      </c>
      <c r="B15">
        <v>0.46</v>
      </c>
      <c r="C15">
        <v>1.0680000000000001</v>
      </c>
      <c r="D15">
        <f t="shared" si="0"/>
        <v>0.10680000000000001</v>
      </c>
      <c r="E15">
        <f t="shared" si="1"/>
        <v>5.3400000000000008E-4</v>
      </c>
      <c r="F15">
        <f t="shared" si="2"/>
        <v>0.53400000000000003</v>
      </c>
      <c r="G15">
        <f t="shared" si="3"/>
        <v>2.3000000000000003</v>
      </c>
      <c r="H15">
        <f t="shared" si="4"/>
        <v>1.2282000000000002</v>
      </c>
      <c r="I15">
        <f t="shared" si="5"/>
        <v>2.6700000000000004</v>
      </c>
    </row>
    <row r="16" spans="1:9" x14ac:dyDescent="0.3">
      <c r="A16" t="s">
        <v>14</v>
      </c>
      <c r="B16">
        <v>1.27</v>
      </c>
      <c r="C16" t="s">
        <v>15</v>
      </c>
      <c r="D16" t="e">
        <f t="shared" si="0"/>
        <v>#VALUE!</v>
      </c>
      <c r="E16" t="e">
        <f t="shared" si="1"/>
        <v>#VALUE!</v>
      </c>
      <c r="F16" t="e">
        <f t="shared" si="2"/>
        <v>#VALUE!</v>
      </c>
      <c r="G16">
        <f t="shared" si="3"/>
        <v>6.35</v>
      </c>
      <c r="H16" t="e">
        <f t="shared" si="4"/>
        <v>#VALUE!</v>
      </c>
      <c r="I16" t="e">
        <f t="shared" si="5"/>
        <v>#VALUE!</v>
      </c>
    </row>
    <row r="17" spans="1:9" x14ac:dyDescent="0.3">
      <c r="A17" t="s">
        <v>16</v>
      </c>
      <c r="B17">
        <v>0.73</v>
      </c>
      <c r="C17">
        <v>5.6470000000000002</v>
      </c>
      <c r="D17">
        <f t="shared" si="0"/>
        <v>0.56470000000000009</v>
      </c>
      <c r="E17">
        <f t="shared" si="1"/>
        <v>2.8235000000000005E-3</v>
      </c>
      <c r="F17">
        <f t="shared" si="2"/>
        <v>2.8235000000000006</v>
      </c>
      <c r="G17">
        <f t="shared" si="3"/>
        <v>3.65</v>
      </c>
      <c r="H17">
        <f t="shared" si="4"/>
        <v>10.305775000000002</v>
      </c>
      <c r="I17">
        <f t="shared" si="5"/>
        <v>14.117500000000003</v>
      </c>
    </row>
    <row r="18" spans="1:9" x14ac:dyDescent="0.3">
      <c r="A18" t="s">
        <v>17</v>
      </c>
      <c r="B18">
        <v>1.21</v>
      </c>
      <c r="C18">
        <v>2.762</v>
      </c>
      <c r="D18">
        <f t="shared" si="0"/>
        <v>0.2762</v>
      </c>
      <c r="E18">
        <f t="shared" si="1"/>
        <v>1.3810000000000001E-3</v>
      </c>
      <c r="F18">
        <f t="shared" si="2"/>
        <v>1.381</v>
      </c>
      <c r="G18">
        <f t="shared" si="3"/>
        <v>6.05</v>
      </c>
      <c r="H18">
        <f t="shared" si="4"/>
        <v>8.3550500000000003</v>
      </c>
      <c r="I18">
        <f t="shared" si="5"/>
        <v>6.9050000000000002</v>
      </c>
    </row>
    <row r="19" spans="1:9" x14ac:dyDescent="0.3">
      <c r="A19" t="s">
        <v>18</v>
      </c>
      <c r="B19">
        <v>1.06</v>
      </c>
      <c r="C19">
        <v>2.617</v>
      </c>
      <c r="D19">
        <f t="shared" si="0"/>
        <v>0.26169999999999999</v>
      </c>
      <c r="E19">
        <f t="shared" si="1"/>
        <v>1.3085E-3</v>
      </c>
      <c r="F19">
        <f t="shared" si="2"/>
        <v>1.3085</v>
      </c>
      <c r="G19">
        <f t="shared" si="3"/>
        <v>5.3000000000000007</v>
      </c>
      <c r="H19">
        <f t="shared" si="4"/>
        <v>6.9350500000000013</v>
      </c>
      <c r="I19">
        <f t="shared" si="5"/>
        <v>6.5425000000000004</v>
      </c>
    </row>
    <row r="20" spans="1:9" x14ac:dyDescent="0.3">
      <c r="A20" t="s">
        <v>19</v>
      </c>
      <c r="B20">
        <v>0.83</v>
      </c>
      <c r="C20">
        <v>0.91300000000000003</v>
      </c>
      <c r="D20">
        <f t="shared" si="0"/>
        <v>9.1300000000000006E-2</v>
      </c>
      <c r="E20">
        <f t="shared" si="1"/>
        <v>4.5650000000000004E-4</v>
      </c>
      <c r="F20">
        <f t="shared" si="2"/>
        <v>0.45650000000000002</v>
      </c>
      <c r="G20">
        <f t="shared" si="3"/>
        <v>4.1499999999999995</v>
      </c>
      <c r="H20">
        <f t="shared" si="4"/>
        <v>1.8944749999999999</v>
      </c>
      <c r="I20">
        <f t="shared" si="5"/>
        <v>2.2825000000000002</v>
      </c>
    </row>
    <row r="21" spans="1:9" x14ac:dyDescent="0.3">
      <c r="A21" t="s">
        <v>20</v>
      </c>
      <c r="B21">
        <v>1.3</v>
      </c>
      <c r="C21">
        <v>2.6160000000000001</v>
      </c>
      <c r="D21">
        <f t="shared" si="0"/>
        <v>0.2616</v>
      </c>
      <c r="E21">
        <f t="shared" si="1"/>
        <v>1.3079999999999999E-3</v>
      </c>
      <c r="F21">
        <f t="shared" si="2"/>
        <v>1.3079999999999998</v>
      </c>
      <c r="G21">
        <f t="shared" si="3"/>
        <v>6.5</v>
      </c>
      <c r="H21">
        <f t="shared" si="4"/>
        <v>8.5019999999999989</v>
      </c>
      <c r="I21">
        <f t="shared" si="5"/>
        <v>6.5399999999999991</v>
      </c>
    </row>
    <row r="22" spans="1:9" x14ac:dyDescent="0.3">
      <c r="A22" t="s">
        <v>21</v>
      </c>
      <c r="B22">
        <v>0.62</v>
      </c>
      <c r="C22">
        <v>1.758</v>
      </c>
      <c r="D22">
        <f t="shared" si="0"/>
        <v>0.17580000000000001</v>
      </c>
      <c r="E22">
        <f t="shared" si="1"/>
        <v>8.7900000000000001E-4</v>
      </c>
      <c r="F22">
        <f t="shared" si="2"/>
        <v>0.879</v>
      </c>
      <c r="G22">
        <f t="shared" si="3"/>
        <v>3.1</v>
      </c>
      <c r="H22">
        <f t="shared" si="4"/>
        <v>2.7248999999999999</v>
      </c>
      <c r="I22">
        <f t="shared" si="5"/>
        <v>4.3949999999999996</v>
      </c>
    </row>
    <row r="23" spans="1:9" x14ac:dyDescent="0.3">
      <c r="A23" t="s">
        <v>22</v>
      </c>
      <c r="B23">
        <v>0.8</v>
      </c>
      <c r="C23">
        <v>14.752000000000001</v>
      </c>
      <c r="D23">
        <f t="shared" si="0"/>
        <v>1.4752000000000001</v>
      </c>
      <c r="E23">
        <f t="shared" si="1"/>
        <v>7.3760000000000006E-3</v>
      </c>
      <c r="F23">
        <f t="shared" si="2"/>
        <v>7.3760000000000003</v>
      </c>
      <c r="G23">
        <f t="shared" si="3"/>
        <v>4</v>
      </c>
      <c r="H23">
        <f t="shared" si="4"/>
        <v>29.504000000000001</v>
      </c>
      <c r="I23">
        <f t="shared" si="5"/>
        <v>36.880000000000003</v>
      </c>
    </row>
    <row r="24" spans="1:9" x14ac:dyDescent="0.3">
      <c r="A24" t="s">
        <v>23</v>
      </c>
      <c r="B24">
        <v>0.44</v>
      </c>
      <c r="C24">
        <v>6.2329999999999997</v>
      </c>
      <c r="D24">
        <f t="shared" si="0"/>
        <v>0.62329999999999997</v>
      </c>
      <c r="E24">
        <f t="shared" si="1"/>
        <v>3.1164999999999999E-3</v>
      </c>
      <c r="F24">
        <f t="shared" si="2"/>
        <v>3.1164999999999998</v>
      </c>
      <c r="G24">
        <f t="shared" si="3"/>
        <v>2.2000000000000002</v>
      </c>
      <c r="H24">
        <f t="shared" si="4"/>
        <v>6.8563000000000001</v>
      </c>
      <c r="I24">
        <f t="shared" si="5"/>
        <v>15.5825</v>
      </c>
    </row>
    <row r="25" spans="1:9" x14ac:dyDescent="0.3">
      <c r="A25" t="s">
        <v>24</v>
      </c>
      <c r="B25">
        <v>0.66</v>
      </c>
      <c r="C25">
        <v>1.536</v>
      </c>
      <c r="D25">
        <f t="shared" si="0"/>
        <v>0.15360000000000001</v>
      </c>
      <c r="E25">
        <f t="shared" si="1"/>
        <v>7.6800000000000002E-4</v>
      </c>
      <c r="F25">
        <f t="shared" si="2"/>
        <v>0.76800000000000002</v>
      </c>
      <c r="G25">
        <f t="shared" si="3"/>
        <v>3.3000000000000003</v>
      </c>
      <c r="H25">
        <f t="shared" si="4"/>
        <v>2.5344000000000002</v>
      </c>
      <c r="I25">
        <f t="shared" si="5"/>
        <v>3.8400000000000003</v>
      </c>
    </row>
    <row r="26" spans="1:9" x14ac:dyDescent="0.3">
      <c r="A26" t="s">
        <v>25</v>
      </c>
      <c r="B26">
        <v>0.72</v>
      </c>
      <c r="C26">
        <v>4.37</v>
      </c>
      <c r="D26">
        <f t="shared" si="0"/>
        <v>0.43700000000000006</v>
      </c>
      <c r="E26">
        <f t="shared" si="1"/>
        <v>2.1850000000000003E-3</v>
      </c>
      <c r="F26">
        <f t="shared" si="2"/>
        <v>2.1850000000000005</v>
      </c>
      <c r="G26">
        <f t="shared" si="3"/>
        <v>3.5999999999999996</v>
      </c>
      <c r="H26">
        <f t="shared" si="4"/>
        <v>7.8660000000000014</v>
      </c>
      <c r="I26">
        <f t="shared" si="5"/>
        <v>10.925000000000002</v>
      </c>
    </row>
    <row r="27" spans="1:9" x14ac:dyDescent="0.3">
      <c r="A27" t="s">
        <v>26</v>
      </c>
      <c r="B27">
        <v>0.54</v>
      </c>
      <c r="C27">
        <v>2.1019999999999999</v>
      </c>
      <c r="D27">
        <f t="shared" si="0"/>
        <v>0.2102</v>
      </c>
      <c r="E27">
        <f t="shared" si="1"/>
        <v>1.0510000000000001E-3</v>
      </c>
      <c r="F27">
        <f t="shared" si="2"/>
        <v>1.0510000000000002</v>
      </c>
      <c r="G27">
        <f t="shared" si="3"/>
        <v>2.7</v>
      </c>
      <c r="H27">
        <f t="shared" si="4"/>
        <v>2.8377000000000008</v>
      </c>
      <c r="I27">
        <f t="shared" si="5"/>
        <v>5.2550000000000008</v>
      </c>
    </row>
    <row r="28" spans="1:9" x14ac:dyDescent="0.3">
      <c r="A28" t="s">
        <v>27</v>
      </c>
      <c r="B28">
        <v>0.93</v>
      </c>
      <c r="C28">
        <v>1.232</v>
      </c>
      <c r="D28">
        <f t="shared" si="0"/>
        <v>0.1232</v>
      </c>
      <c r="E28">
        <f t="shared" si="1"/>
        <v>6.1600000000000001E-4</v>
      </c>
      <c r="F28">
        <f t="shared" si="2"/>
        <v>0.61599999999999999</v>
      </c>
      <c r="G28">
        <f t="shared" si="3"/>
        <v>4.6500000000000004</v>
      </c>
      <c r="H28">
        <f t="shared" si="4"/>
        <v>2.8644000000000003</v>
      </c>
      <c r="I28">
        <f t="shared" si="5"/>
        <v>3.08</v>
      </c>
    </row>
    <row r="29" spans="1:9" x14ac:dyDescent="0.3">
      <c r="A29" t="s">
        <v>28</v>
      </c>
      <c r="B29">
        <v>0.4</v>
      </c>
      <c r="C29">
        <v>14.760999999999999</v>
      </c>
      <c r="D29">
        <f t="shared" si="0"/>
        <v>1.4761</v>
      </c>
      <c r="E29">
        <f t="shared" si="1"/>
        <v>7.3804999999999999E-3</v>
      </c>
      <c r="F29">
        <f t="shared" si="2"/>
        <v>7.3804999999999996</v>
      </c>
      <c r="G29">
        <f t="shared" si="3"/>
        <v>2</v>
      </c>
      <c r="H29">
        <f t="shared" si="4"/>
        <v>14.760999999999999</v>
      </c>
      <c r="I29">
        <f t="shared" si="5"/>
        <v>36.902499999999996</v>
      </c>
    </row>
    <row r="30" spans="1:9" x14ac:dyDescent="0.3">
      <c r="A30" t="s">
        <v>29</v>
      </c>
      <c r="B30">
        <v>0.6</v>
      </c>
      <c r="C30">
        <v>1.9610000000000001</v>
      </c>
      <c r="D30">
        <f t="shared" si="0"/>
        <v>0.19610000000000002</v>
      </c>
      <c r="E30">
        <f t="shared" si="1"/>
        <v>9.8050000000000003E-4</v>
      </c>
      <c r="F30">
        <f t="shared" si="2"/>
        <v>0.98050000000000004</v>
      </c>
      <c r="G30">
        <f t="shared" si="3"/>
        <v>3</v>
      </c>
      <c r="H30">
        <f t="shared" si="4"/>
        <v>2.9415</v>
      </c>
      <c r="I30">
        <f t="shared" si="5"/>
        <v>4.9024999999999999</v>
      </c>
    </row>
    <row r="31" spans="1:9" x14ac:dyDescent="0.3">
      <c r="A31" t="s">
        <v>30</v>
      </c>
      <c r="B31">
        <v>2.0699999999999998</v>
      </c>
      <c r="C31">
        <v>5.0650000000000004</v>
      </c>
      <c r="D31">
        <f t="shared" si="0"/>
        <v>0.50650000000000006</v>
      </c>
      <c r="E31">
        <f t="shared" si="1"/>
        <v>2.5325000000000005E-3</v>
      </c>
      <c r="F31">
        <f t="shared" si="2"/>
        <v>2.5325000000000006</v>
      </c>
      <c r="G31">
        <f t="shared" si="3"/>
        <v>10.35</v>
      </c>
      <c r="H31">
        <f t="shared" si="4"/>
        <v>26.211375000000007</v>
      </c>
      <c r="I31">
        <f t="shared" si="5"/>
        <v>12.662500000000005</v>
      </c>
    </row>
    <row r="32" spans="1:9" x14ac:dyDescent="0.3">
      <c r="A32" t="s">
        <v>31</v>
      </c>
      <c r="B32">
        <v>0.14000000000000001</v>
      </c>
      <c r="C32">
        <v>4.4359999999999999</v>
      </c>
      <c r="D32">
        <f t="shared" si="0"/>
        <v>0.44359999999999999</v>
      </c>
      <c r="E32">
        <f t="shared" si="1"/>
        <v>2.2179999999999999E-3</v>
      </c>
      <c r="F32">
        <f t="shared" si="2"/>
        <v>2.218</v>
      </c>
      <c r="G32">
        <f t="shared" si="3"/>
        <v>0.70000000000000007</v>
      </c>
      <c r="H32">
        <f t="shared" si="4"/>
        <v>1.5526000000000002</v>
      </c>
      <c r="I32">
        <f t="shared" si="5"/>
        <v>11.09</v>
      </c>
    </row>
    <row r="33" spans="1:9" x14ac:dyDescent="0.3">
      <c r="A33" t="s">
        <v>32</v>
      </c>
      <c r="B33">
        <v>0.63</v>
      </c>
      <c r="C33">
        <v>2.0230000000000001</v>
      </c>
      <c r="D33">
        <f t="shared" si="0"/>
        <v>0.20230000000000004</v>
      </c>
      <c r="E33">
        <f t="shared" si="1"/>
        <v>1.0115000000000002E-3</v>
      </c>
      <c r="F33">
        <f t="shared" si="2"/>
        <v>1.0115000000000003</v>
      </c>
      <c r="G33">
        <f t="shared" si="3"/>
        <v>3.15</v>
      </c>
      <c r="H33">
        <f t="shared" si="4"/>
        <v>3.1862250000000008</v>
      </c>
      <c r="I33">
        <f t="shared" si="5"/>
        <v>5.057500000000001</v>
      </c>
    </row>
    <row r="34" spans="1:9" x14ac:dyDescent="0.3">
      <c r="A34" t="s">
        <v>33</v>
      </c>
      <c r="B34">
        <v>2.85</v>
      </c>
      <c r="C34">
        <v>2.6019999999999999</v>
      </c>
      <c r="D34">
        <f t="shared" si="0"/>
        <v>0.26019999999999999</v>
      </c>
      <c r="E34">
        <f t="shared" si="1"/>
        <v>1.3009999999999999E-3</v>
      </c>
      <c r="F34">
        <f t="shared" si="2"/>
        <v>1.3009999999999999</v>
      </c>
      <c r="G34">
        <f t="shared" si="3"/>
        <v>14.25</v>
      </c>
      <c r="H34">
        <f t="shared" si="4"/>
        <v>18.539249999999999</v>
      </c>
      <c r="I34">
        <f t="shared" si="5"/>
        <v>6.5049999999999999</v>
      </c>
    </row>
    <row r="35" spans="1:9" x14ac:dyDescent="0.3">
      <c r="A35" t="s">
        <v>34</v>
      </c>
      <c r="B35">
        <v>0.42</v>
      </c>
      <c r="C35">
        <v>6.0439999999999996</v>
      </c>
      <c r="D35">
        <f t="shared" si="0"/>
        <v>0.60440000000000005</v>
      </c>
      <c r="E35">
        <f t="shared" si="1"/>
        <v>3.0220000000000004E-3</v>
      </c>
      <c r="F35">
        <f t="shared" si="2"/>
        <v>3.0220000000000002</v>
      </c>
      <c r="G35">
        <f t="shared" si="3"/>
        <v>2.1</v>
      </c>
      <c r="H35">
        <f t="shared" si="4"/>
        <v>6.3462000000000005</v>
      </c>
      <c r="I35">
        <f t="shared" si="5"/>
        <v>15.110000000000001</v>
      </c>
    </row>
    <row r="36" spans="1:9" x14ac:dyDescent="0.3">
      <c r="A36" t="s">
        <v>35</v>
      </c>
      <c r="B36">
        <v>0.56999999999999995</v>
      </c>
      <c r="C36">
        <v>6.8159999999999998</v>
      </c>
      <c r="D36">
        <f t="shared" si="0"/>
        <v>0.68159999999999998</v>
      </c>
      <c r="E36">
        <f t="shared" si="1"/>
        <v>3.408E-3</v>
      </c>
      <c r="F36">
        <f t="shared" si="2"/>
        <v>3.4079999999999999</v>
      </c>
      <c r="G36">
        <f t="shared" si="3"/>
        <v>2.8499999999999996</v>
      </c>
      <c r="H36">
        <f t="shared" si="4"/>
        <v>9.7127999999999979</v>
      </c>
      <c r="I36">
        <f t="shared" si="5"/>
        <v>17.04</v>
      </c>
    </row>
    <row r="37" spans="1:9" x14ac:dyDescent="0.3">
      <c r="A37" t="s">
        <v>36</v>
      </c>
      <c r="B37">
        <v>1.53</v>
      </c>
      <c r="C37">
        <v>6.2389999999999999</v>
      </c>
      <c r="D37">
        <f t="shared" si="0"/>
        <v>0.62390000000000001</v>
      </c>
      <c r="E37">
        <f t="shared" si="1"/>
        <v>3.1194999999999999E-3</v>
      </c>
      <c r="F37">
        <f t="shared" si="2"/>
        <v>3.1194999999999999</v>
      </c>
      <c r="G37">
        <f t="shared" si="3"/>
        <v>7.65</v>
      </c>
      <c r="H37">
        <f t="shared" si="4"/>
        <v>23.864174999999999</v>
      </c>
      <c r="I37">
        <f t="shared" si="5"/>
        <v>15.5975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8D17-07A1-4339-9B78-EDCD623CEDD4}">
  <dimension ref="A3:I37"/>
  <sheetViews>
    <sheetView workbookViewId="0">
      <selection activeCell="H1" sqref="H1:I1048576"/>
    </sheetView>
  </sheetViews>
  <sheetFormatPr defaultRowHeight="14.4" x14ac:dyDescent="0.3"/>
  <cols>
    <col min="1" max="1" width="12.109375" bestFit="1" customWidth="1"/>
    <col min="2" max="2" width="12.109375" customWidth="1"/>
    <col min="3" max="3" width="14.88671875" bestFit="1" customWidth="1"/>
    <col min="4" max="4" width="30.5546875" bestFit="1" customWidth="1"/>
    <col min="5" max="5" width="28.88671875" bestFit="1" customWidth="1"/>
    <col min="6" max="6" width="47.44140625" bestFit="1" customWidth="1"/>
    <col min="7" max="7" width="29.88671875" bestFit="1" customWidth="1"/>
    <col min="8" max="8" width="39.6640625" bestFit="1" customWidth="1"/>
    <col min="9" max="9" width="41.33203125" bestFit="1" customWidth="1"/>
  </cols>
  <sheetData>
    <row r="3" spans="1:9" x14ac:dyDescent="0.3">
      <c r="A3" t="s">
        <v>0</v>
      </c>
    </row>
    <row r="5" spans="1:9" x14ac:dyDescent="0.3">
      <c r="E5" t="s">
        <v>1</v>
      </c>
      <c r="F5" s="3" t="s">
        <v>39</v>
      </c>
      <c r="G5" t="s">
        <v>42</v>
      </c>
      <c r="I5" s="3" t="s">
        <v>51</v>
      </c>
    </row>
    <row r="6" spans="1:9" x14ac:dyDescent="0.3">
      <c r="B6" s="1"/>
      <c r="D6" t="s">
        <v>52</v>
      </c>
      <c r="E6" t="s">
        <v>48</v>
      </c>
      <c r="F6" s="3" t="s">
        <v>40</v>
      </c>
      <c r="G6" t="s">
        <v>43</v>
      </c>
      <c r="I6" t="s">
        <v>46</v>
      </c>
    </row>
    <row r="7" spans="1:9" x14ac:dyDescent="0.3">
      <c r="B7" s="2" t="s">
        <v>5</v>
      </c>
      <c r="C7" t="s">
        <v>37</v>
      </c>
      <c r="D7" t="s">
        <v>38</v>
      </c>
      <c r="E7" t="s">
        <v>53</v>
      </c>
      <c r="F7" s="3" t="s">
        <v>49</v>
      </c>
      <c r="G7" t="s">
        <v>44</v>
      </c>
      <c r="H7" s="3" t="s">
        <v>50</v>
      </c>
    </row>
    <row r="8" spans="1:9" x14ac:dyDescent="0.3">
      <c r="A8" t="s">
        <v>6</v>
      </c>
      <c r="B8">
        <v>0.85</v>
      </c>
      <c r="C8">
        <v>3.2280000000000002</v>
      </c>
      <c r="D8">
        <f>C8*0.1</f>
        <v>0.32280000000000003</v>
      </c>
      <c r="E8">
        <f>D8/200</f>
        <v>1.6140000000000002E-3</v>
      </c>
      <c r="F8">
        <f>E8*1000</f>
        <v>1.6140000000000001</v>
      </c>
      <c r="G8">
        <f>B8*5</f>
        <v>4.25</v>
      </c>
      <c r="H8">
        <f>F8*G8</f>
        <v>6.8595000000000006</v>
      </c>
      <c r="I8">
        <f>H8/B8</f>
        <v>8.07</v>
      </c>
    </row>
    <row r="9" spans="1:9" x14ac:dyDescent="0.3">
      <c r="A9" t="s">
        <v>7</v>
      </c>
      <c r="B9">
        <v>1.25</v>
      </c>
      <c r="C9">
        <v>1.6830000000000001</v>
      </c>
      <c r="D9">
        <f t="shared" ref="D9:D37" si="0">C9*0.1</f>
        <v>0.16830000000000001</v>
      </c>
      <c r="E9">
        <f t="shared" ref="E9:E37" si="1">D9/200</f>
        <v>8.4150000000000002E-4</v>
      </c>
      <c r="F9">
        <f t="shared" ref="F9:F37" si="2">E9*1000</f>
        <v>0.84150000000000003</v>
      </c>
      <c r="G9">
        <f t="shared" ref="G9:G37" si="3">B9*5</f>
        <v>6.25</v>
      </c>
      <c r="H9">
        <f t="shared" ref="H9:H37" si="4">F9*G9</f>
        <v>5.2593750000000004</v>
      </c>
      <c r="I9">
        <f t="shared" ref="I9:I37" si="5">H9/B9</f>
        <v>4.2075000000000005</v>
      </c>
    </row>
    <row r="10" spans="1:9" x14ac:dyDescent="0.3">
      <c r="A10" t="s">
        <v>8</v>
      </c>
      <c r="B10">
        <v>1.42</v>
      </c>
      <c r="C10">
        <v>3.0459999999999998</v>
      </c>
      <c r="D10">
        <f t="shared" si="0"/>
        <v>0.30459999999999998</v>
      </c>
      <c r="E10">
        <f t="shared" si="1"/>
        <v>1.5229999999999998E-3</v>
      </c>
      <c r="F10">
        <f t="shared" si="2"/>
        <v>1.5229999999999999</v>
      </c>
      <c r="G10">
        <f t="shared" si="3"/>
        <v>7.1</v>
      </c>
      <c r="H10">
        <f t="shared" si="4"/>
        <v>10.813299999999998</v>
      </c>
      <c r="I10">
        <f t="shared" si="5"/>
        <v>7.6149999999999993</v>
      </c>
    </row>
    <row r="11" spans="1:9" x14ac:dyDescent="0.3">
      <c r="A11" t="s">
        <v>9</v>
      </c>
      <c r="B11">
        <v>1.0900000000000001</v>
      </c>
      <c r="C11">
        <v>0.71299999999999997</v>
      </c>
      <c r="D11">
        <f t="shared" si="0"/>
        <v>7.1300000000000002E-2</v>
      </c>
      <c r="E11">
        <f t="shared" si="1"/>
        <v>3.5649999999999999E-4</v>
      </c>
      <c r="F11">
        <f t="shared" si="2"/>
        <v>0.35649999999999998</v>
      </c>
      <c r="G11">
        <f t="shared" si="3"/>
        <v>5.45</v>
      </c>
      <c r="H11">
        <f t="shared" si="4"/>
        <v>1.942925</v>
      </c>
      <c r="I11">
        <f t="shared" si="5"/>
        <v>1.7825</v>
      </c>
    </row>
    <row r="12" spans="1:9" x14ac:dyDescent="0.3">
      <c r="A12" t="s">
        <v>10</v>
      </c>
      <c r="B12">
        <v>0.71</v>
      </c>
      <c r="C12">
        <v>2.3119999999999998</v>
      </c>
      <c r="D12">
        <f t="shared" si="0"/>
        <v>0.23119999999999999</v>
      </c>
      <c r="E12">
        <f t="shared" si="1"/>
        <v>1.1559999999999999E-3</v>
      </c>
      <c r="F12">
        <f t="shared" si="2"/>
        <v>1.1559999999999999</v>
      </c>
      <c r="G12">
        <f t="shared" si="3"/>
        <v>3.55</v>
      </c>
      <c r="H12">
        <f t="shared" si="4"/>
        <v>4.1037999999999997</v>
      </c>
      <c r="I12">
        <f t="shared" si="5"/>
        <v>5.78</v>
      </c>
    </row>
    <row r="13" spans="1:9" x14ac:dyDescent="0.3">
      <c r="A13" t="s">
        <v>11</v>
      </c>
      <c r="B13">
        <v>0.7</v>
      </c>
      <c r="C13">
        <v>2.048</v>
      </c>
      <c r="D13">
        <f t="shared" si="0"/>
        <v>0.20480000000000001</v>
      </c>
      <c r="E13">
        <f t="shared" si="1"/>
        <v>1.024E-3</v>
      </c>
      <c r="F13">
        <f t="shared" si="2"/>
        <v>1.024</v>
      </c>
      <c r="G13">
        <f t="shared" si="3"/>
        <v>3.5</v>
      </c>
      <c r="H13">
        <f t="shared" si="4"/>
        <v>3.5840000000000001</v>
      </c>
      <c r="I13">
        <f t="shared" si="5"/>
        <v>5.12</v>
      </c>
    </row>
    <row r="14" spans="1:9" x14ac:dyDescent="0.3">
      <c r="A14" t="s">
        <v>12</v>
      </c>
      <c r="B14">
        <v>1.23</v>
      </c>
      <c r="C14">
        <v>1.4510000000000001</v>
      </c>
      <c r="D14">
        <f t="shared" si="0"/>
        <v>0.14510000000000001</v>
      </c>
      <c r="E14">
        <f t="shared" si="1"/>
        <v>7.2550000000000002E-4</v>
      </c>
      <c r="F14">
        <f t="shared" si="2"/>
        <v>0.72550000000000003</v>
      </c>
      <c r="G14">
        <f t="shared" si="3"/>
        <v>6.15</v>
      </c>
      <c r="H14">
        <f t="shared" si="4"/>
        <v>4.4618250000000002</v>
      </c>
      <c r="I14">
        <f t="shared" si="5"/>
        <v>3.6275000000000004</v>
      </c>
    </row>
    <row r="15" spans="1:9" x14ac:dyDescent="0.3">
      <c r="A15" t="s">
        <v>13</v>
      </c>
      <c r="B15">
        <v>0.46</v>
      </c>
      <c r="C15">
        <v>1.4630000000000001</v>
      </c>
      <c r="D15">
        <f t="shared" si="0"/>
        <v>0.14630000000000001</v>
      </c>
      <c r="E15">
        <f t="shared" si="1"/>
        <v>7.3150000000000005E-4</v>
      </c>
      <c r="F15">
        <f t="shared" si="2"/>
        <v>0.73150000000000004</v>
      </c>
      <c r="G15">
        <f t="shared" si="3"/>
        <v>2.3000000000000003</v>
      </c>
      <c r="H15">
        <f t="shared" si="4"/>
        <v>1.6824500000000002</v>
      </c>
      <c r="I15">
        <f t="shared" si="5"/>
        <v>3.6575000000000002</v>
      </c>
    </row>
    <row r="16" spans="1:9" x14ac:dyDescent="0.3">
      <c r="A16" t="s">
        <v>14</v>
      </c>
      <c r="B16">
        <v>1.27</v>
      </c>
      <c r="C16" t="s">
        <v>15</v>
      </c>
      <c r="D16" t="e">
        <f t="shared" si="0"/>
        <v>#VALUE!</v>
      </c>
      <c r="E16" t="e">
        <f t="shared" si="1"/>
        <v>#VALUE!</v>
      </c>
      <c r="F16" t="e">
        <f t="shared" si="2"/>
        <v>#VALUE!</v>
      </c>
      <c r="G16">
        <f t="shared" si="3"/>
        <v>6.35</v>
      </c>
      <c r="H16" t="e">
        <f t="shared" si="4"/>
        <v>#VALUE!</v>
      </c>
      <c r="I16" t="e">
        <f t="shared" si="5"/>
        <v>#VALUE!</v>
      </c>
    </row>
    <row r="17" spans="1:9" x14ac:dyDescent="0.3">
      <c r="A17" t="s">
        <v>16</v>
      </c>
      <c r="B17">
        <v>0.73</v>
      </c>
      <c r="C17">
        <v>2.343</v>
      </c>
      <c r="D17">
        <f t="shared" si="0"/>
        <v>0.23430000000000001</v>
      </c>
      <c r="E17">
        <f t="shared" si="1"/>
        <v>1.1715E-3</v>
      </c>
      <c r="F17">
        <f t="shared" si="2"/>
        <v>1.1715</v>
      </c>
      <c r="G17">
        <f t="shared" si="3"/>
        <v>3.65</v>
      </c>
      <c r="H17">
        <f t="shared" si="4"/>
        <v>4.2759749999999999</v>
      </c>
      <c r="I17">
        <f t="shared" si="5"/>
        <v>5.8574999999999999</v>
      </c>
    </row>
    <row r="18" spans="1:9" x14ac:dyDescent="0.3">
      <c r="A18" t="s">
        <v>17</v>
      </c>
      <c r="B18">
        <v>1.21</v>
      </c>
      <c r="C18">
        <v>2.36</v>
      </c>
      <c r="D18">
        <f t="shared" si="0"/>
        <v>0.23599999999999999</v>
      </c>
      <c r="E18">
        <f t="shared" si="1"/>
        <v>1.1799999999999998E-3</v>
      </c>
      <c r="F18">
        <f t="shared" si="2"/>
        <v>1.18</v>
      </c>
      <c r="G18">
        <f t="shared" si="3"/>
        <v>6.05</v>
      </c>
      <c r="H18">
        <f t="shared" si="4"/>
        <v>7.1389999999999993</v>
      </c>
      <c r="I18">
        <f t="shared" si="5"/>
        <v>5.8999999999999995</v>
      </c>
    </row>
    <row r="19" spans="1:9" x14ac:dyDescent="0.3">
      <c r="A19" t="s">
        <v>18</v>
      </c>
      <c r="B19">
        <v>1.06</v>
      </c>
      <c r="C19">
        <v>1.7430000000000001</v>
      </c>
      <c r="D19">
        <f t="shared" si="0"/>
        <v>0.17430000000000001</v>
      </c>
      <c r="E19">
        <f t="shared" si="1"/>
        <v>8.715000000000001E-4</v>
      </c>
      <c r="F19">
        <f t="shared" si="2"/>
        <v>0.87150000000000005</v>
      </c>
      <c r="G19">
        <f t="shared" si="3"/>
        <v>5.3000000000000007</v>
      </c>
      <c r="H19">
        <f t="shared" si="4"/>
        <v>4.6189500000000008</v>
      </c>
      <c r="I19">
        <f t="shared" si="5"/>
        <v>4.3575000000000008</v>
      </c>
    </row>
    <row r="20" spans="1:9" x14ac:dyDescent="0.3">
      <c r="A20" t="s">
        <v>19</v>
      </c>
      <c r="B20">
        <v>0.83</v>
      </c>
      <c r="C20">
        <v>0.38100000000000001</v>
      </c>
      <c r="D20">
        <f t="shared" si="0"/>
        <v>3.8100000000000002E-2</v>
      </c>
      <c r="E20">
        <f t="shared" si="1"/>
        <v>1.9050000000000002E-4</v>
      </c>
      <c r="F20">
        <f t="shared" si="2"/>
        <v>0.19050000000000003</v>
      </c>
      <c r="G20">
        <f t="shared" si="3"/>
        <v>4.1499999999999995</v>
      </c>
      <c r="H20">
        <f t="shared" si="4"/>
        <v>0.79057500000000003</v>
      </c>
      <c r="I20">
        <f t="shared" si="5"/>
        <v>0.95250000000000012</v>
      </c>
    </row>
    <row r="21" spans="1:9" x14ac:dyDescent="0.3">
      <c r="A21" t="s">
        <v>20</v>
      </c>
      <c r="B21">
        <v>1.3</v>
      </c>
      <c r="C21">
        <v>0.85899999999999999</v>
      </c>
      <c r="D21">
        <f t="shared" si="0"/>
        <v>8.5900000000000004E-2</v>
      </c>
      <c r="E21">
        <f t="shared" si="1"/>
        <v>4.2950000000000003E-4</v>
      </c>
      <c r="F21">
        <f t="shared" si="2"/>
        <v>0.42950000000000005</v>
      </c>
      <c r="G21">
        <f t="shared" si="3"/>
        <v>6.5</v>
      </c>
      <c r="H21">
        <f t="shared" si="4"/>
        <v>2.7917500000000004</v>
      </c>
      <c r="I21">
        <f t="shared" si="5"/>
        <v>2.1475000000000004</v>
      </c>
    </row>
    <row r="22" spans="1:9" x14ac:dyDescent="0.3">
      <c r="A22" t="s">
        <v>21</v>
      </c>
      <c r="B22">
        <v>0.62</v>
      </c>
      <c r="C22">
        <v>4.3780000000000001</v>
      </c>
      <c r="D22">
        <f t="shared" si="0"/>
        <v>0.43780000000000002</v>
      </c>
      <c r="E22">
        <f t="shared" si="1"/>
        <v>2.189E-3</v>
      </c>
      <c r="F22">
        <f t="shared" si="2"/>
        <v>2.1890000000000001</v>
      </c>
      <c r="G22">
        <f t="shared" si="3"/>
        <v>3.1</v>
      </c>
      <c r="H22">
        <f t="shared" si="4"/>
        <v>6.7859000000000007</v>
      </c>
      <c r="I22">
        <f t="shared" si="5"/>
        <v>10.945000000000002</v>
      </c>
    </row>
    <row r="23" spans="1:9" x14ac:dyDescent="0.3">
      <c r="A23" t="s">
        <v>22</v>
      </c>
      <c r="B23">
        <v>0.8</v>
      </c>
      <c r="C23">
        <v>4.8540000000000001</v>
      </c>
      <c r="D23">
        <f t="shared" si="0"/>
        <v>0.48540000000000005</v>
      </c>
      <c r="E23">
        <f t="shared" si="1"/>
        <v>2.4270000000000003E-3</v>
      </c>
      <c r="F23">
        <f t="shared" si="2"/>
        <v>2.4270000000000005</v>
      </c>
      <c r="G23">
        <f t="shared" si="3"/>
        <v>4</v>
      </c>
      <c r="H23">
        <f t="shared" si="4"/>
        <v>9.708000000000002</v>
      </c>
      <c r="I23">
        <f t="shared" si="5"/>
        <v>12.135000000000002</v>
      </c>
    </row>
    <row r="24" spans="1:9" x14ac:dyDescent="0.3">
      <c r="A24" t="s">
        <v>23</v>
      </c>
      <c r="B24">
        <v>0.44</v>
      </c>
      <c r="C24">
        <v>1.663</v>
      </c>
      <c r="D24">
        <f t="shared" si="0"/>
        <v>0.1663</v>
      </c>
      <c r="E24">
        <f t="shared" si="1"/>
        <v>8.3149999999999999E-4</v>
      </c>
      <c r="F24">
        <f t="shared" si="2"/>
        <v>0.83150000000000002</v>
      </c>
      <c r="G24">
        <f t="shared" si="3"/>
        <v>2.2000000000000002</v>
      </c>
      <c r="H24">
        <f t="shared" si="4"/>
        <v>1.8293000000000001</v>
      </c>
      <c r="I24">
        <f t="shared" si="5"/>
        <v>4.1575000000000006</v>
      </c>
    </row>
    <row r="25" spans="1:9" x14ac:dyDescent="0.3">
      <c r="A25" t="s">
        <v>24</v>
      </c>
      <c r="B25">
        <v>0.66</v>
      </c>
      <c r="C25">
        <v>1.236</v>
      </c>
      <c r="D25">
        <f t="shared" si="0"/>
        <v>0.1236</v>
      </c>
      <c r="E25">
        <f t="shared" si="1"/>
        <v>6.1800000000000006E-4</v>
      </c>
      <c r="F25">
        <f t="shared" si="2"/>
        <v>0.6180000000000001</v>
      </c>
      <c r="G25">
        <f t="shared" si="3"/>
        <v>3.3000000000000003</v>
      </c>
      <c r="H25">
        <f t="shared" si="4"/>
        <v>2.0394000000000005</v>
      </c>
      <c r="I25">
        <f t="shared" si="5"/>
        <v>3.0900000000000007</v>
      </c>
    </row>
    <row r="26" spans="1:9" x14ac:dyDescent="0.3">
      <c r="A26" t="s">
        <v>25</v>
      </c>
      <c r="B26">
        <v>0.72</v>
      </c>
      <c r="C26">
        <v>3.0379999999999998</v>
      </c>
      <c r="D26">
        <f t="shared" si="0"/>
        <v>0.30380000000000001</v>
      </c>
      <c r="E26">
        <f t="shared" si="1"/>
        <v>1.5190000000000002E-3</v>
      </c>
      <c r="F26">
        <f t="shared" si="2"/>
        <v>1.5190000000000001</v>
      </c>
      <c r="G26">
        <f t="shared" si="3"/>
        <v>3.5999999999999996</v>
      </c>
      <c r="H26">
        <f t="shared" si="4"/>
        <v>5.4683999999999999</v>
      </c>
      <c r="I26">
        <f t="shared" si="5"/>
        <v>7.5949999999999998</v>
      </c>
    </row>
    <row r="27" spans="1:9" x14ac:dyDescent="0.3">
      <c r="A27" t="s">
        <v>26</v>
      </c>
      <c r="B27">
        <v>0.54</v>
      </c>
      <c r="C27">
        <v>4.2969999999999997</v>
      </c>
      <c r="D27">
        <f t="shared" si="0"/>
        <v>0.42969999999999997</v>
      </c>
      <c r="E27">
        <f t="shared" si="1"/>
        <v>2.1484999999999998E-3</v>
      </c>
      <c r="F27">
        <f t="shared" si="2"/>
        <v>2.1484999999999999</v>
      </c>
      <c r="G27">
        <f t="shared" si="3"/>
        <v>2.7</v>
      </c>
      <c r="H27">
        <f t="shared" si="4"/>
        <v>5.8009500000000003</v>
      </c>
      <c r="I27">
        <f t="shared" si="5"/>
        <v>10.7425</v>
      </c>
    </row>
    <row r="28" spans="1:9" x14ac:dyDescent="0.3">
      <c r="A28" t="s">
        <v>27</v>
      </c>
      <c r="B28">
        <v>0.93</v>
      </c>
      <c r="C28">
        <v>2.8039999999999998</v>
      </c>
      <c r="D28">
        <f t="shared" si="0"/>
        <v>0.28039999999999998</v>
      </c>
      <c r="E28">
        <f t="shared" si="1"/>
        <v>1.4019999999999998E-3</v>
      </c>
      <c r="F28">
        <f t="shared" si="2"/>
        <v>1.4019999999999999</v>
      </c>
      <c r="G28">
        <f t="shared" si="3"/>
        <v>4.6500000000000004</v>
      </c>
      <c r="H28">
        <f t="shared" si="4"/>
        <v>6.5193000000000003</v>
      </c>
      <c r="I28">
        <f t="shared" si="5"/>
        <v>7.01</v>
      </c>
    </row>
    <row r="29" spans="1:9" x14ac:dyDescent="0.3">
      <c r="A29" t="s">
        <v>28</v>
      </c>
      <c r="B29">
        <v>0.4</v>
      </c>
      <c r="C29">
        <v>1.504</v>
      </c>
      <c r="D29">
        <f t="shared" si="0"/>
        <v>0.15040000000000001</v>
      </c>
      <c r="E29">
        <f t="shared" si="1"/>
        <v>7.5200000000000006E-4</v>
      </c>
      <c r="F29">
        <f t="shared" si="2"/>
        <v>0.75200000000000011</v>
      </c>
      <c r="G29">
        <f t="shared" si="3"/>
        <v>2</v>
      </c>
      <c r="H29">
        <f t="shared" si="4"/>
        <v>1.5040000000000002</v>
      </c>
      <c r="I29">
        <f t="shared" si="5"/>
        <v>3.7600000000000002</v>
      </c>
    </row>
    <row r="30" spans="1:9" x14ac:dyDescent="0.3">
      <c r="A30" t="s">
        <v>29</v>
      </c>
      <c r="B30">
        <v>0.6</v>
      </c>
      <c r="C30">
        <v>1.0069999999999999</v>
      </c>
      <c r="D30">
        <f t="shared" si="0"/>
        <v>0.1007</v>
      </c>
      <c r="E30">
        <f t="shared" si="1"/>
        <v>5.0350000000000004E-4</v>
      </c>
      <c r="F30">
        <f t="shared" si="2"/>
        <v>0.50350000000000006</v>
      </c>
      <c r="G30">
        <f t="shared" si="3"/>
        <v>3</v>
      </c>
      <c r="H30">
        <f t="shared" si="4"/>
        <v>1.5105000000000002</v>
      </c>
      <c r="I30">
        <f t="shared" si="5"/>
        <v>2.5175000000000005</v>
      </c>
    </row>
    <row r="31" spans="1:9" x14ac:dyDescent="0.3">
      <c r="A31" t="s">
        <v>30</v>
      </c>
      <c r="B31">
        <v>2.0699999999999998</v>
      </c>
      <c r="C31">
        <v>2.512</v>
      </c>
      <c r="D31">
        <f t="shared" si="0"/>
        <v>0.25120000000000003</v>
      </c>
      <c r="E31">
        <f t="shared" si="1"/>
        <v>1.2560000000000002E-3</v>
      </c>
      <c r="F31">
        <f t="shared" si="2"/>
        <v>1.2560000000000002</v>
      </c>
      <c r="G31">
        <f t="shared" si="3"/>
        <v>10.35</v>
      </c>
      <c r="H31">
        <f t="shared" si="4"/>
        <v>12.999600000000003</v>
      </c>
      <c r="I31">
        <f t="shared" si="5"/>
        <v>6.280000000000002</v>
      </c>
    </row>
    <row r="32" spans="1:9" x14ac:dyDescent="0.3">
      <c r="A32" t="s">
        <v>31</v>
      </c>
      <c r="B32">
        <v>0.14000000000000001</v>
      </c>
      <c r="C32">
        <v>2.1339999999999999</v>
      </c>
      <c r="D32">
        <f t="shared" si="0"/>
        <v>0.21340000000000001</v>
      </c>
      <c r="E32">
        <f t="shared" si="1"/>
        <v>1.067E-3</v>
      </c>
      <c r="F32">
        <f t="shared" si="2"/>
        <v>1.0669999999999999</v>
      </c>
      <c r="G32">
        <f t="shared" si="3"/>
        <v>0.70000000000000007</v>
      </c>
      <c r="H32">
        <f t="shared" si="4"/>
        <v>0.74690000000000001</v>
      </c>
      <c r="I32">
        <f t="shared" si="5"/>
        <v>5.335</v>
      </c>
    </row>
    <row r="33" spans="1:9" x14ac:dyDescent="0.3">
      <c r="A33" t="s">
        <v>32</v>
      </c>
      <c r="B33">
        <v>0.63</v>
      </c>
      <c r="C33">
        <v>0.19900000000000001</v>
      </c>
      <c r="D33">
        <f t="shared" si="0"/>
        <v>1.9900000000000001E-2</v>
      </c>
      <c r="E33">
        <f t="shared" si="1"/>
        <v>9.9500000000000006E-5</v>
      </c>
      <c r="F33">
        <f t="shared" si="2"/>
        <v>9.9500000000000005E-2</v>
      </c>
      <c r="G33">
        <f t="shared" si="3"/>
        <v>3.15</v>
      </c>
      <c r="H33">
        <f t="shared" si="4"/>
        <v>0.31342500000000001</v>
      </c>
      <c r="I33">
        <f t="shared" si="5"/>
        <v>0.4975</v>
      </c>
    </row>
    <row r="34" spans="1:9" x14ac:dyDescent="0.3">
      <c r="A34" t="s">
        <v>33</v>
      </c>
      <c r="B34">
        <v>2.85</v>
      </c>
      <c r="C34">
        <v>9.5000000000000001E-2</v>
      </c>
      <c r="D34">
        <f t="shared" si="0"/>
        <v>9.5000000000000015E-3</v>
      </c>
      <c r="E34">
        <f t="shared" si="1"/>
        <v>4.7500000000000009E-5</v>
      </c>
      <c r="F34">
        <f t="shared" si="2"/>
        <v>4.7500000000000007E-2</v>
      </c>
      <c r="G34">
        <f t="shared" si="3"/>
        <v>14.25</v>
      </c>
      <c r="H34">
        <f t="shared" si="4"/>
        <v>0.67687500000000012</v>
      </c>
      <c r="I34">
        <f t="shared" si="5"/>
        <v>0.23750000000000004</v>
      </c>
    </row>
    <row r="35" spans="1:9" x14ac:dyDescent="0.3">
      <c r="A35" t="s">
        <v>34</v>
      </c>
      <c r="B35">
        <v>0.42</v>
      </c>
      <c r="C35">
        <v>0.85</v>
      </c>
      <c r="D35">
        <f t="shared" si="0"/>
        <v>8.5000000000000006E-2</v>
      </c>
      <c r="E35">
        <f t="shared" si="1"/>
        <v>4.2500000000000003E-4</v>
      </c>
      <c r="F35">
        <f t="shared" si="2"/>
        <v>0.42500000000000004</v>
      </c>
      <c r="G35">
        <f t="shared" si="3"/>
        <v>2.1</v>
      </c>
      <c r="H35">
        <f t="shared" si="4"/>
        <v>0.89250000000000018</v>
      </c>
      <c r="I35">
        <f t="shared" si="5"/>
        <v>2.1250000000000004</v>
      </c>
    </row>
    <row r="36" spans="1:9" x14ac:dyDescent="0.3">
      <c r="A36" t="s">
        <v>35</v>
      </c>
      <c r="B36">
        <v>0.56999999999999995</v>
      </c>
      <c r="C36">
        <v>2.0209999999999999</v>
      </c>
      <c r="D36">
        <f t="shared" si="0"/>
        <v>0.2021</v>
      </c>
      <c r="E36">
        <f t="shared" si="1"/>
        <v>1.0105000000000001E-3</v>
      </c>
      <c r="F36">
        <f t="shared" si="2"/>
        <v>1.0105000000000002</v>
      </c>
      <c r="G36">
        <f t="shared" si="3"/>
        <v>2.8499999999999996</v>
      </c>
      <c r="H36">
        <f t="shared" si="4"/>
        <v>2.8799250000000001</v>
      </c>
      <c r="I36">
        <f t="shared" si="5"/>
        <v>5.0525000000000002</v>
      </c>
    </row>
    <row r="37" spans="1:9" x14ac:dyDescent="0.3">
      <c r="A37" t="s">
        <v>36</v>
      </c>
      <c r="B37">
        <v>1.53</v>
      </c>
      <c r="C37">
        <v>0.78100000000000003</v>
      </c>
      <c r="D37">
        <f t="shared" si="0"/>
        <v>7.8100000000000003E-2</v>
      </c>
      <c r="E37">
        <f t="shared" si="1"/>
        <v>3.9050000000000001E-4</v>
      </c>
      <c r="F37">
        <f t="shared" si="2"/>
        <v>0.39050000000000001</v>
      </c>
      <c r="G37">
        <f t="shared" si="3"/>
        <v>7.65</v>
      </c>
      <c r="H37">
        <f t="shared" si="4"/>
        <v>2.9873250000000002</v>
      </c>
      <c r="I37">
        <f t="shared" si="5"/>
        <v>1.9525000000000001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9510-435A-47FB-AC20-521271044BF3}">
  <dimension ref="A3:I37"/>
  <sheetViews>
    <sheetView workbookViewId="0">
      <selection activeCell="H1" sqref="H1:I1048576"/>
    </sheetView>
  </sheetViews>
  <sheetFormatPr defaultRowHeight="14.4" x14ac:dyDescent="0.3"/>
  <cols>
    <col min="1" max="1" width="12.109375" bestFit="1" customWidth="1"/>
    <col min="2" max="2" width="12.109375" customWidth="1"/>
    <col min="3" max="3" width="14.88671875" bestFit="1" customWidth="1"/>
    <col min="4" max="4" width="25.44140625" bestFit="1" customWidth="1"/>
    <col min="5" max="5" width="28.88671875" bestFit="1" customWidth="1"/>
    <col min="6" max="6" width="47.44140625" bestFit="1" customWidth="1"/>
    <col min="7" max="7" width="29.88671875" bestFit="1" customWidth="1"/>
    <col min="8" max="8" width="34.5546875" bestFit="1" customWidth="1"/>
    <col min="9" max="9" width="36.109375" bestFit="1" customWidth="1"/>
  </cols>
  <sheetData>
    <row r="3" spans="1:9" x14ac:dyDescent="0.3">
      <c r="A3" t="s">
        <v>0</v>
      </c>
    </row>
    <row r="5" spans="1:9" x14ac:dyDescent="0.3">
      <c r="C5" t="s">
        <v>37</v>
      </c>
      <c r="E5" t="s">
        <v>1</v>
      </c>
      <c r="F5" s="3" t="s">
        <v>39</v>
      </c>
      <c r="G5" t="s">
        <v>42</v>
      </c>
      <c r="I5" s="3" t="s">
        <v>58</v>
      </c>
    </row>
    <row r="6" spans="1:9" x14ac:dyDescent="0.3">
      <c r="B6" s="1"/>
      <c r="D6" t="s">
        <v>54</v>
      </c>
      <c r="E6" t="s">
        <v>55</v>
      </c>
      <c r="F6" s="3" t="s">
        <v>40</v>
      </c>
      <c r="G6" t="s">
        <v>43</v>
      </c>
      <c r="I6" t="s">
        <v>46</v>
      </c>
    </row>
    <row r="7" spans="1:9" x14ac:dyDescent="0.3">
      <c r="B7" s="2" t="s">
        <v>5</v>
      </c>
      <c r="D7" t="s">
        <v>38</v>
      </c>
      <c r="E7" t="s">
        <v>53</v>
      </c>
      <c r="F7" s="3" t="s">
        <v>56</v>
      </c>
      <c r="G7" t="s">
        <v>44</v>
      </c>
      <c r="H7" s="3" t="s">
        <v>57</v>
      </c>
    </row>
    <row r="8" spans="1:9" x14ac:dyDescent="0.3">
      <c r="A8" t="s">
        <v>6</v>
      </c>
      <c r="B8">
        <v>0.85</v>
      </c>
      <c r="C8">
        <v>0.41199999999999998</v>
      </c>
      <c r="D8">
        <f>C8*0.1</f>
        <v>4.1200000000000001E-2</v>
      </c>
      <c r="E8">
        <f>D8/200</f>
        <v>2.0599999999999999E-4</v>
      </c>
      <c r="F8">
        <f>E8*1000</f>
        <v>0.20599999999999999</v>
      </c>
      <c r="G8">
        <f>B8*5</f>
        <v>4.25</v>
      </c>
      <c r="H8">
        <f>F8*G8</f>
        <v>0.87549999999999994</v>
      </c>
      <c r="I8">
        <f>H8/B8</f>
        <v>1.03</v>
      </c>
    </row>
    <row r="9" spans="1:9" x14ac:dyDescent="0.3">
      <c r="A9" t="s">
        <v>7</v>
      </c>
      <c r="B9">
        <v>1.25</v>
      </c>
      <c r="C9">
        <v>8.1000000000000003E-2</v>
      </c>
      <c r="D9">
        <f t="shared" ref="D9:D37" si="0">C9*0.1</f>
        <v>8.1000000000000013E-3</v>
      </c>
      <c r="E9">
        <f t="shared" ref="E9:E37" si="1">D9/200</f>
        <v>4.0500000000000009E-5</v>
      </c>
      <c r="F9">
        <f t="shared" ref="F9:F37" si="2">E9*1000</f>
        <v>4.0500000000000008E-2</v>
      </c>
      <c r="G9">
        <f t="shared" ref="G9:G37" si="3">B9*5</f>
        <v>6.25</v>
      </c>
      <c r="H9">
        <f t="shared" ref="H9:H37" si="4">F9*G9</f>
        <v>0.25312500000000004</v>
      </c>
      <c r="I9">
        <f t="shared" ref="I9:I37" si="5">H9/B9</f>
        <v>0.20250000000000004</v>
      </c>
    </row>
    <row r="10" spans="1:9" x14ac:dyDescent="0.3">
      <c r="A10" t="s">
        <v>8</v>
      </c>
      <c r="B10">
        <v>1.42</v>
      </c>
      <c r="C10">
        <v>0.33600000000000002</v>
      </c>
      <c r="D10">
        <f t="shared" si="0"/>
        <v>3.3600000000000005E-2</v>
      </c>
      <c r="E10">
        <f t="shared" si="1"/>
        <v>1.6800000000000002E-4</v>
      </c>
      <c r="F10">
        <f t="shared" si="2"/>
        <v>0.16800000000000001</v>
      </c>
      <c r="G10">
        <f t="shared" si="3"/>
        <v>7.1</v>
      </c>
      <c r="H10">
        <f t="shared" si="4"/>
        <v>1.1928000000000001</v>
      </c>
      <c r="I10">
        <f t="shared" si="5"/>
        <v>0.84000000000000008</v>
      </c>
    </row>
    <row r="11" spans="1:9" x14ac:dyDescent="0.3">
      <c r="A11" t="s">
        <v>9</v>
      </c>
      <c r="B11">
        <v>1.0900000000000001</v>
      </c>
      <c r="C11">
        <v>9.5000000000000001E-2</v>
      </c>
      <c r="D11">
        <f t="shared" si="0"/>
        <v>9.5000000000000015E-3</v>
      </c>
      <c r="E11">
        <f t="shared" si="1"/>
        <v>4.7500000000000009E-5</v>
      </c>
      <c r="F11">
        <f t="shared" si="2"/>
        <v>4.7500000000000007E-2</v>
      </c>
      <c r="G11">
        <f t="shared" si="3"/>
        <v>5.45</v>
      </c>
      <c r="H11">
        <f t="shared" si="4"/>
        <v>0.25887500000000002</v>
      </c>
      <c r="I11">
        <f t="shared" si="5"/>
        <v>0.23749999999999999</v>
      </c>
    </row>
    <row r="12" spans="1:9" x14ac:dyDescent="0.3">
      <c r="A12" t="s">
        <v>10</v>
      </c>
      <c r="B12">
        <v>0.71</v>
      </c>
      <c r="C12">
        <v>0.114</v>
      </c>
      <c r="D12">
        <f t="shared" si="0"/>
        <v>1.14E-2</v>
      </c>
      <c r="E12">
        <f t="shared" si="1"/>
        <v>5.7000000000000003E-5</v>
      </c>
      <c r="F12">
        <f t="shared" si="2"/>
        <v>5.7000000000000002E-2</v>
      </c>
      <c r="G12">
        <f t="shared" si="3"/>
        <v>3.55</v>
      </c>
      <c r="H12">
        <f t="shared" si="4"/>
        <v>0.20235</v>
      </c>
      <c r="I12">
        <f t="shared" si="5"/>
        <v>0.28500000000000003</v>
      </c>
    </row>
    <row r="13" spans="1:9" x14ac:dyDescent="0.3">
      <c r="A13" t="s">
        <v>11</v>
      </c>
      <c r="B13">
        <v>0.7</v>
      </c>
      <c r="C13">
        <v>0.157</v>
      </c>
      <c r="D13">
        <f t="shared" si="0"/>
        <v>1.5700000000000002E-2</v>
      </c>
      <c r="E13">
        <f t="shared" si="1"/>
        <v>7.8500000000000011E-5</v>
      </c>
      <c r="F13">
        <f t="shared" si="2"/>
        <v>7.8500000000000014E-2</v>
      </c>
      <c r="G13">
        <f t="shared" si="3"/>
        <v>3.5</v>
      </c>
      <c r="H13">
        <f t="shared" si="4"/>
        <v>0.27475000000000005</v>
      </c>
      <c r="I13">
        <f t="shared" si="5"/>
        <v>0.39250000000000007</v>
      </c>
    </row>
    <row r="14" spans="1:9" x14ac:dyDescent="0.3">
      <c r="A14" t="s">
        <v>12</v>
      </c>
      <c r="B14">
        <v>1.23</v>
      </c>
      <c r="C14">
        <v>4.1000000000000002E-2</v>
      </c>
      <c r="D14">
        <f t="shared" si="0"/>
        <v>4.1000000000000003E-3</v>
      </c>
      <c r="E14">
        <f t="shared" si="1"/>
        <v>2.05E-5</v>
      </c>
      <c r="F14">
        <f t="shared" si="2"/>
        <v>2.0500000000000001E-2</v>
      </c>
      <c r="G14">
        <f t="shared" si="3"/>
        <v>6.15</v>
      </c>
      <c r="H14">
        <f t="shared" si="4"/>
        <v>0.12607500000000002</v>
      </c>
      <c r="I14">
        <f t="shared" si="5"/>
        <v>0.10250000000000002</v>
      </c>
    </row>
    <row r="15" spans="1:9" x14ac:dyDescent="0.3">
      <c r="A15" t="s">
        <v>13</v>
      </c>
      <c r="B15">
        <v>0.46</v>
      </c>
      <c r="C15">
        <v>6.6000000000000003E-2</v>
      </c>
      <c r="D15">
        <f t="shared" si="0"/>
        <v>6.6000000000000008E-3</v>
      </c>
      <c r="E15">
        <f t="shared" si="1"/>
        <v>3.3000000000000003E-5</v>
      </c>
      <c r="F15">
        <f t="shared" si="2"/>
        <v>3.3000000000000002E-2</v>
      </c>
      <c r="G15">
        <f t="shared" si="3"/>
        <v>2.3000000000000003</v>
      </c>
      <c r="H15">
        <f t="shared" si="4"/>
        <v>7.5900000000000009E-2</v>
      </c>
      <c r="I15">
        <f t="shared" si="5"/>
        <v>0.16500000000000001</v>
      </c>
    </row>
    <row r="16" spans="1:9" x14ac:dyDescent="0.3">
      <c r="A16" t="s">
        <v>14</v>
      </c>
      <c r="B16">
        <v>1.27</v>
      </c>
      <c r="C16" t="s">
        <v>15</v>
      </c>
      <c r="D16" t="e">
        <f t="shared" si="0"/>
        <v>#VALUE!</v>
      </c>
      <c r="E16" t="e">
        <f t="shared" si="1"/>
        <v>#VALUE!</v>
      </c>
      <c r="F16" t="e">
        <f t="shared" si="2"/>
        <v>#VALUE!</v>
      </c>
      <c r="G16">
        <f t="shared" si="3"/>
        <v>6.35</v>
      </c>
      <c r="H16" t="e">
        <f t="shared" si="4"/>
        <v>#VALUE!</v>
      </c>
      <c r="I16" t="e">
        <f t="shared" si="5"/>
        <v>#VALUE!</v>
      </c>
    </row>
    <row r="17" spans="1:9" x14ac:dyDescent="0.3">
      <c r="A17" t="s">
        <v>16</v>
      </c>
      <c r="B17">
        <v>0.73</v>
      </c>
      <c r="C17">
        <v>9.4E-2</v>
      </c>
      <c r="D17">
        <f t="shared" si="0"/>
        <v>9.4000000000000004E-3</v>
      </c>
      <c r="E17">
        <f t="shared" si="1"/>
        <v>4.7000000000000004E-5</v>
      </c>
      <c r="F17">
        <f t="shared" si="2"/>
        <v>4.7000000000000007E-2</v>
      </c>
      <c r="G17">
        <f t="shared" si="3"/>
        <v>3.65</v>
      </c>
      <c r="H17">
        <f t="shared" si="4"/>
        <v>0.17155000000000001</v>
      </c>
      <c r="I17">
        <f t="shared" si="5"/>
        <v>0.23500000000000001</v>
      </c>
    </row>
    <row r="18" spans="1:9" x14ac:dyDescent="0.3">
      <c r="A18" t="s">
        <v>17</v>
      </c>
      <c r="B18">
        <v>1.21</v>
      </c>
      <c r="C18">
        <v>0.13700000000000001</v>
      </c>
      <c r="D18">
        <f t="shared" si="0"/>
        <v>1.3700000000000002E-2</v>
      </c>
      <c r="E18">
        <f t="shared" si="1"/>
        <v>6.8500000000000012E-5</v>
      </c>
      <c r="F18">
        <f t="shared" si="2"/>
        <v>6.8500000000000005E-2</v>
      </c>
      <c r="G18">
        <f t="shared" si="3"/>
        <v>6.05</v>
      </c>
      <c r="H18">
        <f t="shared" si="4"/>
        <v>0.41442500000000004</v>
      </c>
      <c r="I18">
        <f t="shared" si="5"/>
        <v>0.34250000000000003</v>
      </c>
    </row>
    <row r="19" spans="1:9" x14ac:dyDescent="0.3">
      <c r="A19" t="s">
        <v>18</v>
      </c>
      <c r="B19">
        <v>1.06</v>
      </c>
      <c r="C19">
        <v>0.13600000000000001</v>
      </c>
      <c r="D19">
        <f t="shared" si="0"/>
        <v>1.3600000000000001E-2</v>
      </c>
      <c r="E19">
        <f t="shared" si="1"/>
        <v>6.7999999999999999E-5</v>
      </c>
      <c r="F19">
        <f t="shared" si="2"/>
        <v>6.8000000000000005E-2</v>
      </c>
      <c r="G19">
        <f t="shared" si="3"/>
        <v>5.3000000000000007</v>
      </c>
      <c r="H19">
        <f t="shared" si="4"/>
        <v>0.36040000000000005</v>
      </c>
      <c r="I19">
        <f t="shared" si="5"/>
        <v>0.34</v>
      </c>
    </row>
    <row r="20" spans="1:9" x14ac:dyDescent="0.3">
      <c r="A20" t="s">
        <v>19</v>
      </c>
      <c r="B20">
        <v>0.83</v>
      </c>
      <c r="C20">
        <v>0.214</v>
      </c>
      <c r="D20">
        <f t="shared" si="0"/>
        <v>2.1400000000000002E-2</v>
      </c>
      <c r="E20">
        <f t="shared" si="1"/>
        <v>1.0700000000000001E-4</v>
      </c>
      <c r="F20">
        <f t="shared" si="2"/>
        <v>0.10700000000000001</v>
      </c>
      <c r="G20">
        <f t="shared" si="3"/>
        <v>4.1499999999999995</v>
      </c>
      <c r="H20">
        <f t="shared" si="4"/>
        <v>0.44405</v>
      </c>
      <c r="I20">
        <f t="shared" si="5"/>
        <v>0.53500000000000003</v>
      </c>
    </row>
    <row r="21" spans="1:9" x14ac:dyDescent="0.3">
      <c r="A21" t="s">
        <v>20</v>
      </c>
      <c r="B21">
        <v>1.3</v>
      </c>
      <c r="C21">
        <v>0.13700000000000001</v>
      </c>
      <c r="D21">
        <f t="shared" si="0"/>
        <v>1.3700000000000002E-2</v>
      </c>
      <c r="E21">
        <f t="shared" si="1"/>
        <v>6.8500000000000012E-5</v>
      </c>
      <c r="F21">
        <f t="shared" si="2"/>
        <v>6.8500000000000005E-2</v>
      </c>
      <c r="G21">
        <f t="shared" si="3"/>
        <v>6.5</v>
      </c>
      <c r="H21">
        <f t="shared" si="4"/>
        <v>0.44525000000000003</v>
      </c>
      <c r="I21">
        <f t="shared" si="5"/>
        <v>0.34250000000000003</v>
      </c>
    </row>
    <row r="22" spans="1:9" x14ac:dyDescent="0.3">
      <c r="A22" t="s">
        <v>21</v>
      </c>
      <c r="B22">
        <v>0.62</v>
      </c>
      <c r="C22">
        <v>0.28100000000000003</v>
      </c>
      <c r="D22">
        <f t="shared" si="0"/>
        <v>2.8100000000000003E-2</v>
      </c>
      <c r="E22">
        <f t="shared" si="1"/>
        <v>1.4050000000000003E-4</v>
      </c>
      <c r="F22">
        <f t="shared" si="2"/>
        <v>0.14050000000000001</v>
      </c>
      <c r="G22">
        <f t="shared" si="3"/>
        <v>3.1</v>
      </c>
      <c r="H22">
        <f t="shared" si="4"/>
        <v>0.43555000000000005</v>
      </c>
      <c r="I22">
        <f t="shared" si="5"/>
        <v>0.70250000000000012</v>
      </c>
    </row>
    <row r="23" spans="1:9" x14ac:dyDescent="0.3">
      <c r="A23" t="s">
        <v>22</v>
      </c>
      <c r="B23">
        <v>0.8</v>
      </c>
      <c r="C23">
        <v>0.154</v>
      </c>
      <c r="D23">
        <f t="shared" si="0"/>
        <v>1.54E-2</v>
      </c>
      <c r="E23">
        <f t="shared" si="1"/>
        <v>7.7000000000000001E-5</v>
      </c>
      <c r="F23">
        <f t="shared" si="2"/>
        <v>7.6999999999999999E-2</v>
      </c>
      <c r="G23">
        <f t="shared" si="3"/>
        <v>4</v>
      </c>
      <c r="H23">
        <f t="shared" si="4"/>
        <v>0.308</v>
      </c>
      <c r="I23">
        <f t="shared" si="5"/>
        <v>0.38499999999999995</v>
      </c>
    </row>
    <row r="24" spans="1:9" x14ac:dyDescent="0.3">
      <c r="A24" t="s">
        <v>23</v>
      </c>
      <c r="B24">
        <v>0.44</v>
      </c>
      <c r="C24">
        <v>0.13</v>
      </c>
      <c r="D24">
        <f t="shared" si="0"/>
        <v>1.3000000000000001E-2</v>
      </c>
      <c r="E24">
        <f t="shared" si="1"/>
        <v>6.5000000000000008E-5</v>
      </c>
      <c r="F24">
        <f t="shared" si="2"/>
        <v>6.5000000000000002E-2</v>
      </c>
      <c r="G24">
        <f t="shared" si="3"/>
        <v>2.2000000000000002</v>
      </c>
      <c r="H24">
        <f t="shared" si="4"/>
        <v>0.14300000000000002</v>
      </c>
      <c r="I24">
        <f t="shared" si="5"/>
        <v>0.32500000000000001</v>
      </c>
    </row>
    <row r="25" spans="1:9" x14ac:dyDescent="0.3">
      <c r="A25" t="s">
        <v>24</v>
      </c>
      <c r="B25">
        <v>0.66</v>
      </c>
      <c r="C25">
        <v>0.14299999999999999</v>
      </c>
      <c r="D25">
        <f t="shared" si="0"/>
        <v>1.43E-2</v>
      </c>
      <c r="E25">
        <f t="shared" si="1"/>
        <v>7.1500000000000003E-5</v>
      </c>
      <c r="F25">
        <f t="shared" si="2"/>
        <v>7.1500000000000008E-2</v>
      </c>
      <c r="G25">
        <f t="shared" si="3"/>
        <v>3.3000000000000003</v>
      </c>
      <c r="H25">
        <f t="shared" si="4"/>
        <v>0.23595000000000005</v>
      </c>
      <c r="I25">
        <f t="shared" si="5"/>
        <v>0.35750000000000004</v>
      </c>
    </row>
    <row r="26" spans="1:9" x14ac:dyDescent="0.3">
      <c r="A26" t="s">
        <v>25</v>
      </c>
      <c r="B26">
        <v>0.72</v>
      </c>
      <c r="C26">
        <v>0.161</v>
      </c>
      <c r="D26">
        <f t="shared" si="0"/>
        <v>1.61E-2</v>
      </c>
      <c r="E26">
        <f t="shared" si="1"/>
        <v>8.0500000000000005E-5</v>
      </c>
      <c r="F26">
        <f t="shared" si="2"/>
        <v>8.0500000000000002E-2</v>
      </c>
      <c r="G26">
        <f t="shared" si="3"/>
        <v>3.5999999999999996</v>
      </c>
      <c r="H26">
        <f t="shared" si="4"/>
        <v>0.2898</v>
      </c>
      <c r="I26">
        <f t="shared" si="5"/>
        <v>0.40250000000000002</v>
      </c>
    </row>
    <row r="27" spans="1:9" x14ac:dyDescent="0.3">
      <c r="A27" t="s">
        <v>26</v>
      </c>
      <c r="B27">
        <v>0.54</v>
      </c>
      <c r="C27">
        <v>0.21</v>
      </c>
      <c r="D27">
        <f t="shared" si="0"/>
        <v>2.1000000000000001E-2</v>
      </c>
      <c r="E27">
        <f t="shared" si="1"/>
        <v>1.05E-4</v>
      </c>
      <c r="F27">
        <f t="shared" si="2"/>
        <v>0.10500000000000001</v>
      </c>
      <c r="G27">
        <f t="shared" si="3"/>
        <v>2.7</v>
      </c>
      <c r="H27">
        <f t="shared" si="4"/>
        <v>0.28350000000000003</v>
      </c>
      <c r="I27">
        <f t="shared" si="5"/>
        <v>0.52500000000000002</v>
      </c>
    </row>
    <row r="28" spans="1:9" x14ac:dyDescent="0.3">
      <c r="A28" t="s">
        <v>27</v>
      </c>
      <c r="B28">
        <v>0.93</v>
      </c>
      <c r="C28">
        <v>0.24399999999999999</v>
      </c>
      <c r="D28">
        <f t="shared" si="0"/>
        <v>2.4400000000000002E-2</v>
      </c>
      <c r="E28">
        <f t="shared" si="1"/>
        <v>1.2200000000000001E-4</v>
      </c>
      <c r="F28">
        <f t="shared" si="2"/>
        <v>0.12200000000000001</v>
      </c>
      <c r="G28">
        <f t="shared" si="3"/>
        <v>4.6500000000000004</v>
      </c>
      <c r="H28">
        <f t="shared" si="4"/>
        <v>0.56730000000000014</v>
      </c>
      <c r="I28">
        <f t="shared" si="5"/>
        <v>0.6100000000000001</v>
      </c>
    </row>
    <row r="29" spans="1:9" x14ac:dyDescent="0.3">
      <c r="A29" t="s">
        <v>28</v>
      </c>
      <c r="B29">
        <v>0.4</v>
      </c>
      <c r="C29">
        <v>0.13700000000000001</v>
      </c>
      <c r="D29">
        <f t="shared" si="0"/>
        <v>1.3700000000000002E-2</v>
      </c>
      <c r="E29">
        <f t="shared" si="1"/>
        <v>6.8500000000000012E-5</v>
      </c>
      <c r="F29">
        <f t="shared" si="2"/>
        <v>6.8500000000000005E-2</v>
      </c>
      <c r="G29">
        <f t="shared" si="3"/>
        <v>2</v>
      </c>
      <c r="H29">
        <f t="shared" si="4"/>
        <v>0.13700000000000001</v>
      </c>
      <c r="I29">
        <f t="shared" si="5"/>
        <v>0.34250000000000003</v>
      </c>
    </row>
    <row r="30" spans="1:9" x14ac:dyDescent="0.3">
      <c r="A30" t="s">
        <v>29</v>
      </c>
      <c r="B30">
        <v>0.6</v>
      </c>
      <c r="C30">
        <v>0.13900000000000001</v>
      </c>
      <c r="D30">
        <f t="shared" si="0"/>
        <v>1.3900000000000003E-2</v>
      </c>
      <c r="E30">
        <f t="shared" si="1"/>
        <v>6.9500000000000009E-5</v>
      </c>
      <c r="F30">
        <f t="shared" si="2"/>
        <v>6.9500000000000006E-2</v>
      </c>
      <c r="G30">
        <f t="shared" si="3"/>
        <v>3</v>
      </c>
      <c r="H30">
        <f t="shared" si="4"/>
        <v>0.20850000000000002</v>
      </c>
      <c r="I30">
        <f t="shared" si="5"/>
        <v>0.34750000000000003</v>
      </c>
    </row>
    <row r="31" spans="1:9" x14ac:dyDescent="0.3">
      <c r="A31" t="s">
        <v>30</v>
      </c>
      <c r="B31">
        <v>2.0699999999999998</v>
      </c>
      <c r="C31">
        <v>0.254</v>
      </c>
      <c r="D31">
        <f t="shared" si="0"/>
        <v>2.5400000000000002E-2</v>
      </c>
      <c r="E31">
        <f t="shared" si="1"/>
        <v>1.2700000000000002E-4</v>
      </c>
      <c r="F31">
        <f t="shared" si="2"/>
        <v>0.12700000000000003</v>
      </c>
      <c r="G31">
        <f t="shared" si="3"/>
        <v>10.35</v>
      </c>
      <c r="H31">
        <f t="shared" si="4"/>
        <v>1.3144500000000003</v>
      </c>
      <c r="I31">
        <f t="shared" si="5"/>
        <v>0.63500000000000023</v>
      </c>
    </row>
    <row r="32" spans="1:9" x14ac:dyDescent="0.3">
      <c r="A32" t="s">
        <v>31</v>
      </c>
      <c r="B32">
        <v>0.14000000000000001</v>
      </c>
      <c r="C32">
        <v>0.17799999999999999</v>
      </c>
      <c r="D32">
        <f t="shared" si="0"/>
        <v>1.78E-2</v>
      </c>
      <c r="E32">
        <f t="shared" si="1"/>
        <v>8.8999999999999995E-5</v>
      </c>
      <c r="F32">
        <f t="shared" si="2"/>
        <v>8.8999999999999996E-2</v>
      </c>
      <c r="G32">
        <f t="shared" si="3"/>
        <v>0.70000000000000007</v>
      </c>
      <c r="H32">
        <f t="shared" si="4"/>
        <v>6.2300000000000001E-2</v>
      </c>
      <c r="I32">
        <f t="shared" si="5"/>
        <v>0.44499999999999995</v>
      </c>
    </row>
    <row r="33" spans="1:9" x14ac:dyDescent="0.3">
      <c r="A33" t="s">
        <v>32</v>
      </c>
      <c r="B33">
        <v>0.63</v>
      </c>
      <c r="C33">
        <v>0.06</v>
      </c>
      <c r="D33">
        <f t="shared" si="0"/>
        <v>6.0000000000000001E-3</v>
      </c>
      <c r="E33">
        <f t="shared" si="1"/>
        <v>3.0000000000000001E-5</v>
      </c>
      <c r="F33">
        <f t="shared" si="2"/>
        <v>3.0000000000000002E-2</v>
      </c>
      <c r="G33">
        <f t="shared" si="3"/>
        <v>3.15</v>
      </c>
      <c r="H33">
        <f t="shared" si="4"/>
        <v>9.4500000000000001E-2</v>
      </c>
      <c r="I33">
        <f t="shared" si="5"/>
        <v>0.15</v>
      </c>
    </row>
    <row r="34" spans="1:9" x14ac:dyDescent="0.3">
      <c r="A34" t="s">
        <v>33</v>
      </c>
      <c r="B34">
        <v>2.85</v>
      </c>
      <c r="C34">
        <v>3.5000000000000003E-2</v>
      </c>
      <c r="D34">
        <f t="shared" si="0"/>
        <v>3.5000000000000005E-3</v>
      </c>
      <c r="E34">
        <f t="shared" si="1"/>
        <v>1.7500000000000002E-5</v>
      </c>
      <c r="F34">
        <f t="shared" si="2"/>
        <v>1.7500000000000002E-2</v>
      </c>
      <c r="G34">
        <f t="shared" si="3"/>
        <v>14.25</v>
      </c>
      <c r="H34">
        <f t="shared" si="4"/>
        <v>0.24937500000000001</v>
      </c>
      <c r="I34">
        <f t="shared" si="5"/>
        <v>8.7500000000000008E-2</v>
      </c>
    </row>
    <row r="35" spans="1:9" x14ac:dyDescent="0.3">
      <c r="A35" t="s">
        <v>34</v>
      </c>
      <c r="B35">
        <v>0.42</v>
      </c>
      <c r="C35">
        <v>0.20599999999999999</v>
      </c>
      <c r="D35">
        <f t="shared" si="0"/>
        <v>2.06E-2</v>
      </c>
      <c r="E35">
        <f t="shared" si="1"/>
        <v>1.03E-4</v>
      </c>
      <c r="F35">
        <f t="shared" si="2"/>
        <v>0.10299999999999999</v>
      </c>
      <c r="G35">
        <f t="shared" si="3"/>
        <v>2.1</v>
      </c>
      <c r="H35">
        <f t="shared" si="4"/>
        <v>0.21629999999999999</v>
      </c>
      <c r="I35">
        <f t="shared" si="5"/>
        <v>0.51500000000000001</v>
      </c>
    </row>
    <row r="36" spans="1:9" x14ac:dyDescent="0.3">
      <c r="A36" t="s">
        <v>35</v>
      </c>
      <c r="B36">
        <v>0.56999999999999995</v>
      </c>
      <c r="C36">
        <v>0.105</v>
      </c>
      <c r="D36">
        <f t="shared" si="0"/>
        <v>1.0500000000000001E-2</v>
      </c>
      <c r="E36">
        <f t="shared" si="1"/>
        <v>5.2500000000000002E-5</v>
      </c>
      <c r="F36">
        <f t="shared" si="2"/>
        <v>5.2500000000000005E-2</v>
      </c>
      <c r="G36">
        <f t="shared" si="3"/>
        <v>2.8499999999999996</v>
      </c>
      <c r="H36">
        <f t="shared" si="4"/>
        <v>0.14962500000000001</v>
      </c>
      <c r="I36">
        <f t="shared" si="5"/>
        <v>0.26250000000000001</v>
      </c>
    </row>
    <row r="37" spans="1:9" x14ac:dyDescent="0.3">
      <c r="A37" t="s">
        <v>36</v>
      </c>
      <c r="B37">
        <v>1.53</v>
      </c>
      <c r="C37">
        <v>0.14099999999999999</v>
      </c>
      <c r="D37">
        <f t="shared" si="0"/>
        <v>1.41E-2</v>
      </c>
      <c r="E37">
        <f t="shared" si="1"/>
        <v>7.0499999999999992E-5</v>
      </c>
      <c r="F37">
        <f t="shared" si="2"/>
        <v>7.0499999999999993E-2</v>
      </c>
      <c r="G37">
        <f t="shared" si="3"/>
        <v>7.65</v>
      </c>
      <c r="H37">
        <f t="shared" si="4"/>
        <v>0.53932499999999994</v>
      </c>
      <c r="I37">
        <f t="shared" si="5"/>
        <v>0.35249999999999998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Progesterone</vt:lpstr>
      <vt:lpstr>Cortisol</vt:lpstr>
      <vt:lpstr>Androstenedione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Capuccini</dc:creator>
  <cp:lastModifiedBy>Katia Capuccini</cp:lastModifiedBy>
  <dcterms:created xsi:type="dcterms:W3CDTF">2023-06-10T10:43:59Z</dcterms:created>
  <dcterms:modified xsi:type="dcterms:W3CDTF">2023-06-10T12:42:32Z</dcterms:modified>
</cp:coreProperties>
</file>